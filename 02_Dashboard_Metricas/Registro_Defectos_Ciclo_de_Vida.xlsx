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_Defectos" sheetId="1" state="visible" r:id="rId3"/>
    <sheet name="Ciclo_de_Vida" sheetId="2" state="visible" r:id="rId4"/>
    <sheet name="Dashboard" sheetId="3" state="visible" r:id="rId5"/>
    <sheet name="Trazabilidad" sheetId="4" state="visible" r:id="rId6"/>
    <sheet name="Glosario_Estad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<sst xmlns="http://schemas.openxmlformats.org/spreadsheetml/2006/main" count="351" uniqueCount="196">
  <si>
    <t xml:space="preserve">REGISTRO DE DEFECTOS - CICLO DE VIDA</t>
  </si>
  <si>
    <t xml:space="preserve">Testing y Validacion de Software - Universidad de La Sabana - Proyecto: logistica-integracion</t>
  </si>
  <si>
    <t xml:space="preserve">ID</t>
  </si>
  <si>
    <t xml:space="preserve">Titulo</t>
  </si>
  <si>
    <t xml:space="preserve">Origen / Proyecto</t>
  </si>
  <si>
    <t xml:space="preserve">Tipo</t>
  </si>
  <si>
    <t xml:space="preserve">Severidad</t>
  </si>
  <si>
    <t xml:space="preserve">Prioridad</t>
  </si>
  <si>
    <t xml:space="preserve">Ranking</t>
  </si>
  <si>
    <t xml:space="preserve">Componente afectado</t>
  </si>
  <si>
    <t xml:space="preserve">Reportado por</t>
  </si>
  <si>
    <t xml:space="preserve">Fecha deteccion</t>
  </si>
  <si>
    <t xml:space="preserve">Estado actual</t>
  </si>
  <si>
    <t xml:space="preserve">Fecha cierre</t>
  </si>
  <si>
    <t xml:space="preserve">Dias abiertos</t>
  </si>
  <si>
    <t xml:space="preserve">Accion correctiva</t>
  </si>
  <si>
    <t xml:space="preserve">Validado por</t>
  </si>
  <si>
    <t xml:space="preserve">Criterio de cierre</t>
  </si>
  <si>
    <t xml:space="preserve">H2-01</t>
  </si>
  <si>
    <t xml:space="preserve">ClassNotFoundException por dependencia H2 mal alcanzada</t>
  </si>
  <si>
    <t xml:space="preserve">Unidad 4 - Integracion (pjba-integracion)</t>
  </si>
  <si>
    <t xml:space="preserve">Configuracion / Dependencias</t>
  </si>
  <si>
    <t xml:space="preserve">Alta</t>
  </si>
  <si>
    <t xml:space="preserve">P1</t>
  </si>
  <si>
    <t xml:space="preserve">pom.xml - dependencia H2</t>
  </si>
  <si>
    <t xml:space="preserve">Fredy Pulido</t>
  </si>
  <si>
    <t xml:space="preserve">2026-04-18</t>
  </si>
  <si>
    <t xml:space="preserve">Cerrado</t>
  </si>
  <si>
    <t xml:space="preserve">Cambio de scope de test a runtime</t>
  </si>
  <si>
    <t xml:space="preserve">Arranque sin excepciones y suite IT al 100%</t>
  </si>
  <si>
    <t xml:space="preserve">AC-01</t>
  </si>
  <si>
    <t xml:space="preserve">Conflicto de autoconfiguracion de Spring Boot con H2 en classpath</t>
  </si>
  <si>
    <t xml:space="preserve">Unidad 4 - Integracion (pjba-integracion/taller-integracion)</t>
  </si>
  <si>
    <t xml:space="preserve">Configuracion / Arquitectura</t>
  </si>
  <si>
    <t xml:space="preserve">Application.java / application.properties</t>
  </si>
  <si>
    <t xml:space="preserve">2026-04-19</t>
  </si>
  <si>
    <t xml:space="preserve">Exclusion de DataSourceAutoConfiguration y HibernateJpaAutoConfiguration</t>
  </si>
  <si>
    <t xml:space="preserve">Arranque limpio y 100% de pruebas IT/sistema pasando</t>
  </si>
  <si>
    <t xml:space="preserve">SRC-01</t>
  </si>
  <si>
    <t xml:space="preserve">Anidamiento duplicado de directorios al migrar con git mv</t>
  </si>
  <si>
    <t xml:space="preserve">Unidades 3-4 - Migracion pjba-tdd</t>
  </si>
  <si>
    <t xml:space="preserve">Control de versiones / Estructura</t>
  </si>
  <si>
    <t xml:space="preserve">Media</t>
  </si>
  <si>
    <t xml:space="preserve">P2</t>
  </si>
  <si>
    <t xml:space="preserve">Estructura de directorios Git</t>
  </si>
  <si>
    <t xml:space="preserve">Andrea Martinez</t>
  </si>
  <si>
    <t xml:space="preserve">2026-04-25</t>
  </si>
  <si>
    <t xml:space="preserve">2026-04-26</t>
  </si>
  <si>
    <t xml:space="preserve">cp -R + git add + git rm --cached de rutas duplicadas</t>
  </si>
  <si>
    <t xml:space="preserve">Compilacion exitosa y 14/14 pruebas unitarias OK</t>
  </si>
  <si>
    <t xml:space="preserve">SQ-01</t>
  </si>
  <si>
    <t xml:space="preserve">Duplicacion de codigo (10.4%) sobre el umbral de SonarQube</t>
  </si>
  <si>
    <t xml:space="preserve">Unidad 4 - Pipeline CI/CD</t>
  </si>
  <si>
    <t xml:space="preserve">Calidad de codigo / Deuda tecnica</t>
  </si>
  <si>
    <t xml:space="preserve">Baja</t>
  </si>
  <si>
    <t xml:space="preserve">P3</t>
  </si>
  <si>
    <t xml:space="preserve">infrastructure/persistence, config, delivery/rest</t>
  </si>
  <si>
    <t xml:space="preserve">2026-05-09</t>
  </si>
  <si>
    <t xml:space="preserve">Abierto - riesgo aceptado</t>
  </si>
  <si>
    <t xml:space="preserve">Pendiente: sonar-project.properties con sonar.cpd.exclusions</t>
  </si>
  <si>
    <t xml:space="preserve">-</t>
  </si>
  <si>
    <t xml:space="preserve">Duplicacion &lt;= 3% validada en ejecucion posterior del pipeline</t>
  </si>
  <si>
    <t xml:space="preserve">DS-01</t>
  </si>
  <si>
    <t xml:space="preserve">Archivos .DS_Store subidos al repositorio</t>
  </si>
  <si>
    <t xml:space="preserve">Unidad 4 - Limpieza previa a PR</t>
  </si>
  <si>
    <t xml:space="preserve">Higiene de repositorio / Configuracion</t>
  </si>
  <si>
    <t xml:space="preserve">.gitignore / historial de commits</t>
  </si>
  <si>
    <t xml:space="preserve">2026-05-10</t>
  </si>
  <si>
    <t xml:space="preserve">git rm --cached + regla en .gitignore</t>
  </si>
  <si>
    <t xml:space="preserve">git status no rastrea nuevos .DS_Store de prueba</t>
  </si>
  <si>
    <t xml:space="preserve">DR-01</t>
  </si>
  <si>
    <t xml:space="preserve">Picos de latencia maxima por pausas del GC (G1GC)</t>
  </si>
  <si>
    <t xml:space="preserve">Proyecto final - Rendimiento (logistica-integracion)</t>
  </si>
  <si>
    <t xml:space="preserve">Rendimiento / Gestion de memoria</t>
  </si>
  <si>
    <t xml:space="preserve">cotizacion_log (H2) / heap JVM</t>
  </si>
  <si>
    <t xml:space="preserve">2026-06-12</t>
  </si>
  <si>
    <t xml:space="preserve">Abierto - en seguimiento</t>
  </si>
  <si>
    <t xml:space="preserve">Propuesta: purga programada / persistencia @Async / migrar a PostgreSQL</t>
  </si>
  <si>
    <t xml:space="preserve">Soak Test con delta (max-p99) estable tras implementar la mejora</t>
  </si>
  <si>
    <t xml:space="preserve">DR-02</t>
  </si>
  <si>
    <t xml:space="preserve">Contencion de escritura en H2 (write lock) bajo concurrencia real</t>
  </si>
  <si>
    <t xml:space="preserve">Rendimiento / Concurrencia</t>
  </si>
  <si>
    <t xml:space="preserve">infrastructure/persistence - repositorio JDBC</t>
  </si>
  <si>
    <t xml:space="preserve">Abierto - riesgo documentado</t>
  </si>
  <si>
    <t xml:space="preserve">Propuesta: persistencia @Async y migracion a PostgreSQL/HikariCP</t>
  </si>
  <si>
    <t xml:space="preserve">Stress Test contra BD real con latencia representativa de produccion</t>
  </si>
  <si>
    <t xml:space="preserve">DR-03</t>
  </si>
  <si>
    <t xml:space="preserve">Ausencia de timeout y rate limiter en POST /cotizacion</t>
  </si>
  <si>
    <t xml:space="preserve">Rendimiento / Resiliencia</t>
  </si>
  <si>
    <t xml:space="preserve">CotizacionController / application.properties</t>
  </si>
  <si>
    <t xml:space="preserve">2026-06-13</t>
  </si>
  <si>
    <t xml:space="preserve">Propuesta: request-timeout=3000 + @RateLimiter Resilience4j</t>
  </si>
  <si>
    <t xml:space="preserve">Spike Test con HTTP 429 controlado en vez de latencias extremas</t>
  </si>
  <si>
    <t xml:space="preserve">Resumen</t>
  </si>
  <si>
    <t xml:space="preserve">Total de defectos:</t>
  </si>
  <si>
    <t xml:space="preserve">Defectos cerrados:</t>
  </si>
  <si>
    <t xml:space="preserve">Defectos abiertos:</t>
  </si>
  <si>
    <t xml:space="preserve">Promedio dias de resolucion (cerrados):</t>
  </si>
  <si>
    <t xml:space="preserve">Defectos P1 (critica/inmediata):</t>
  </si>
  <si>
    <t xml:space="preserve">Nota: la columna 'Dias abiertos' se calcula con formula; para defectos sin fecha de cierre se muestra '-'. La columna 'Ranking' combina severidad y prioridad (P1=critica/inmediata, P2=importante, P3=diferible).</t>
  </si>
  <si>
    <t xml:space="preserve">TRANSICION DE ESTADOS POR DEFECTO</t>
  </si>
  <si>
    <t xml:space="preserve">Fecha en la que cada defecto alcanzo cada estado del ciclo de vida (vacio = estado no alcanzado aun)</t>
  </si>
  <si>
    <t xml:space="preserve">Nuevo</t>
  </si>
  <si>
    <t xml:space="preserve">Clasificado</t>
  </si>
  <si>
    <t xml:space="preserve">Asignado</t>
  </si>
  <si>
    <t xml:space="preserve">En analisis</t>
  </si>
  <si>
    <t xml:space="preserve">En correccion</t>
  </si>
  <si>
    <t xml:space="preserve">Corregido</t>
  </si>
  <si>
    <t xml:space="preserve">En validacion</t>
  </si>
  <si>
    <t xml:space="preserve">—</t>
  </si>
  <si>
    <t xml:space="preserve">Glosario de estados disponible en la hoja 'Glosario_Estados'.</t>
  </si>
  <si>
    <t xml:space="preserve">TABLERO DE INDICADORES</t>
  </si>
  <si>
    <t xml:space="preserve">Conteos calculados dinamicamente a partir de la hoja Registro_Defectos</t>
  </si>
  <si>
    <t xml:space="preserve">Cantidad</t>
  </si>
  <si>
    <t xml:space="preserve">Estado</t>
  </si>
  <si>
    <t xml:space="preserve">Abierto</t>
  </si>
  <si>
    <t xml:space="preserve">Categoria</t>
  </si>
  <si>
    <t xml:space="preserve">Tecnico (config./arquitectura/codigo/versionado)</t>
  </si>
  <si>
    <t xml:space="preserve">Rendimiento</t>
  </si>
  <si>
    <t xml:space="preserve">P1 - Critica/inmediata</t>
  </si>
  <si>
    <t xml:space="preserve">P2 - Importante</t>
  </si>
  <si>
    <t xml:space="preserve">P3 - Diferible</t>
  </si>
  <si>
    <t xml:space="preserve">Metrica</t>
  </si>
  <si>
    <t xml:space="preserve">Objetivo (SLO)</t>
  </si>
  <si>
    <t xml:space="preserve">Resultado observado</t>
  </si>
  <si>
    <t xml:space="preserve">Cumplimiento</t>
  </si>
  <si>
    <t xml:space="preserve">p95 (los seis escenarios)</t>
  </si>
  <si>
    <t xml:space="preserve">&lt; 300 ms</t>
  </si>
  <si>
    <t xml:space="preserve">Maximo 7.324 ms (Stress Test)</t>
  </si>
  <si>
    <t xml:space="preserve">Cumple</t>
  </si>
  <si>
    <t xml:space="preserve">p99 (los seis escenarios)</t>
  </si>
  <si>
    <t xml:space="preserve">&lt; 800 ms</t>
  </si>
  <si>
    <t xml:space="preserve">Maximo 20.114 ms (Baseline)</t>
  </si>
  <si>
    <t xml:space="preserve">Tasa de error</t>
  </si>
  <si>
    <t xml:space="preserve">&lt; 1%</t>
  </si>
  <si>
    <t xml:space="preserve">0% (0 errores en 1.703.633 solicitudes)</t>
  </si>
  <si>
    <t xml:space="preserve">Throughput</t>
  </si>
  <si>
    <t xml:space="preserve">&gt;= 50 req/s</t>
  </si>
  <si>
    <t xml:space="preserve">Hasta 1.753 req/s (Spike Test)</t>
  </si>
  <si>
    <t xml:space="preserve">Suite de pruebas</t>
  </si>
  <si>
    <t xml:space="preserve">Objetivo JaCoCo</t>
  </si>
  <si>
    <t xml:space="preserve">Resultado</t>
  </si>
  <si>
    <t xml:space="preserve">Unidad 3 - Pruebas unitarias (TDD)</t>
  </si>
  <si>
    <t xml:space="preserve">&gt;= 80%</t>
  </si>
  <si>
    <t xml:space="preserve">Unidad 4 - Pruebas de integracion y sistema</t>
  </si>
  <si>
    <t xml:space="preserve">Analisis</t>
  </si>
  <si>
    <t xml:space="preserve">- El 50% de los defectos (4 de 8) esta Cerrado con validacion confirmada; los 4 que permanecen Abiertos corresponden a decisiones de triage explicitas, no a negligencia en el seguimiento.</t>
  </si>
  <si>
    <t xml:space="preserve">- El unico defecto de ranking P1 (critica/inmediata) que permanece Abierto es DR-02 (contencion de escritura en H2 bajo concurrencia real), por lo que es el item de mayor prioridad pendiente del proyecto.</t>
  </si>
  <si>
    <t xml:space="preserve">- El tiempo promedio de resolucion de los defectos cerrados es de 0.5 dias, consistente con su naturaleza de configuracion con causa raiz determinista y pruebas automatizadas disponibles.</t>
  </si>
  <si>
    <t xml:space="preserve">- El 100% de los SLO de rendimiento definidos para el proyecto final se cumplio en los seis escenarios k6 ejecutados, con 0% de errores sobre mas de 1.7 millones de solicitudes.</t>
  </si>
  <si>
    <t xml:space="preserve">- La cobertura de pruebas JaCoCo se mantuvo igual o superior al 80% en las Unidades 3 y 4, cumpliendo el objetivo de calidad definido para el curso.</t>
  </si>
  <si>
    <t xml:space="preserve">- Los tres defectos de rendimiento abiertos son hallazgos arquitecturales identificados de forma proactiva -no incumplimientos de SLO- por lo que no comprometen la entrega actual, pero deben atenderse antes de un despliegue a produccion real.</t>
  </si>
  <si>
    <t xml:space="preserve">MATRIZ DE TRAZABILIDAD CONSOLIDADA</t>
  </si>
  <si>
    <t xml:space="preserve">Requisito -&gt; Caso de prueba -&gt; Commit/PR -&gt; Documento relacionado, por defecto</t>
  </si>
  <si>
    <t xml:space="preserve">Requisito / funcionalidad relacionada</t>
  </si>
  <si>
    <t xml:space="preserve">Caso de prueba</t>
  </si>
  <si>
    <t xml:space="preserve">Commit / Pull Request</t>
  </si>
  <si>
    <t xml:space="preserve">Documento relacionado</t>
  </si>
  <si>
    <t xml:space="preserve">Disponibilidad del servicio REST (arranque correcto del microservicio)</t>
  </si>
  <si>
    <t xml:space="preserve">Ejecucion manual de mvn spring-boot:run</t>
  </si>
  <si>
    <t xml:space="preserve">PR #6 - fix/h2-scope-runtime</t>
  </si>
  <si>
    <t xml:space="preserve">Wiki testing-validacion - 5. Registro de Defectos</t>
  </si>
  <si>
    <t xml:space="preserve">Arranque del contexto de Spring sin autoconfiguracion JPA no utilizada</t>
  </si>
  <si>
    <t xml:space="preserve">Arranque del contexto tras resolver H2-01</t>
  </si>
  <si>
    <t xml:space="preserve">PR #7 - fix/autoconfig-exclude</t>
  </si>
  <si>
    <t xml:space="preserve">Estructura de directorios del monorepo</t>
  </si>
  <si>
    <t xml:space="preserve">Verificacion de estructura tras git mv</t>
  </si>
  <si>
    <t xml:space="preserve">PR #9 - fix/src-structure</t>
  </si>
  <si>
    <t xml:space="preserve">Calidad estructural del codigo (umbral de duplicacion del pipeline)</t>
  </si>
  <si>
    <t xml:space="preserve">Primera ejecucion del job de SonarQube</t>
  </si>
  <si>
    <t xml:space="preserve">Pendiente - Issue #14</t>
  </si>
  <si>
    <t xml:space="preserve">Wiki testing-validacion - 5. Registro de Defectos / 6. Pipeline CI-CD</t>
  </si>
  <si>
    <t xml:space="preserve">Higiene del repositorio compartido entre sistemas operativos</t>
  </si>
  <si>
    <t xml:space="preserve">Revision de git status antes del PR</t>
  </si>
  <si>
    <t xml:space="preserve">PR #10 - chore/gitignore-dsstore</t>
  </si>
  <si>
    <t xml:space="preserve">SLO de rendimiento p99 &lt; 800 ms (Soak Test)</t>
  </si>
  <si>
    <t xml:space="preserve">Comparacion p99 vs latencia maxima entre escenarios k6</t>
  </si>
  <si>
    <t xml:space="preserve">Pendiente - Issue #21</t>
  </si>
  <si>
    <t xml:space="preserve">Wiki testingSoftwareProyecto - Identificacion-de-cuellos-de-botella</t>
  </si>
  <si>
    <t xml:space="preserve">Capacidad de concurrencia real de produccion (Stress Test)</t>
  </si>
  <si>
    <t xml:space="preserve">Analisis arquitectural posterior al Stress Test</t>
  </si>
  <si>
    <t xml:space="preserve">Pendiente - Issue #22</t>
  </si>
  <si>
    <t xml:space="preserve">Resiliencia del endpoint ante contencion sostenida (Stress/Spike Test)</t>
  </si>
  <si>
    <t xml:space="preserve">Revision de configuracion del controlador</t>
  </si>
  <si>
    <t xml:space="preserve">Pendiente - Issue #23</t>
  </si>
  <si>
    <t xml:space="preserve">GLOSARIO DEL CICLO DE VIDA DEL DEFECTO</t>
  </si>
  <si>
    <t xml:space="preserve">Modelo de 8 estados (ISTQB / IEEE 1044), con posibilidad de reapertura</t>
  </si>
  <si>
    <t xml:space="preserve">Descripcion</t>
  </si>
  <si>
    <t xml:space="preserve">El defecto se detecta y se registra por primera vez, con la evidencia minima para reproducirlo.</t>
  </si>
  <si>
    <t xml:space="preserve">Se le asigna tipo, severidad y prioridad, lo que determina el orden de atencion.</t>
  </si>
  <si>
    <t xml:space="preserve">Se designa a la persona o rol responsable de investigarlo y corregirlo.</t>
  </si>
  <si>
    <t xml:space="preserve">Se investiga la causa raiz y se determina el componente afectado.</t>
  </si>
  <si>
    <t xml:space="preserve">Se implementa el cambio de codigo, configuracion o proceso que resuelve la causa identificada.</t>
  </si>
  <si>
    <t xml:space="preserve">El cambio esta implementado y listo para ser validado de forma independiente.</t>
  </si>
  <si>
    <t xml:space="preserve">Se ejecutan las pruebas de regresion o confirmacion necesarias para verificar la correccion.</t>
  </si>
  <si>
    <t xml:space="preserve">La validacion confirma que el defecto fue resuelto. Si la validacion falla, el defecto se reabre y regresa a 'En correccion'.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</si>
</sst>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B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33A3A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b val="true"/>
      <sz val="10"/>
      <color rgb="FFC97A1B"/>
      <name val="Arial"/>
      <family val="0"/>
      <charset val="1"/>
    </font>
    <font>
      <b val="true"/>
      <sz val="10"/>
      <color rgb="FF2E5C8A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3B5C"/>
        <bgColor rgb="FF2E5C8A"/>
      </patternFill>
    </fill>
    <fill>
      <patternFill patternType="solid">
        <fgColor rgb="FFFFFFFF"/>
        <bgColor rgb="FFF9F9F9"/>
      </patternFill>
    </fill>
    <fill>
      <patternFill patternType="solid">
        <fgColor rgb="FFF8D7D7"/>
        <bgColor rgb="FFFBE5C8"/>
      </patternFill>
    </fill>
    <fill>
      <patternFill patternType="solid">
        <fgColor rgb="FFF2F2F2"/>
        <bgColor rgb="FFF9F9F9"/>
      </patternFill>
    </fill>
    <fill>
      <patternFill patternType="solid">
        <fgColor rgb="FFFBE5C8"/>
        <bgColor rgb="FFF8D7D7"/>
      </patternFill>
    </fill>
    <fill>
      <patternFill patternType="solid">
        <fgColor rgb="FFD9E8F5"/>
        <bgColor rgb="FFDCE8F2"/>
      </patternFill>
    </fill>
    <fill>
      <patternFill patternType="solid">
        <fgColor rgb="FFDCE8F2"/>
        <bgColor rgb="FFD9E8F5"/>
      </patternFill>
    </fill>
    <fill>
      <patternFill patternType="solid">
        <fgColor rgb="FFE3F2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33A3A"/>
      <rgbColor rgb="FFF9F9F9"/>
      <rgbColor rgb="FFE3F2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DCE8F2"/>
      <rgbColor rgb="FFFBE5C8"/>
      <rgbColor rgb="FFF2F2F2"/>
      <rgbColor rgb="FFFF99CC"/>
      <rgbColor rgb="FFCC99FF"/>
      <rgbColor rgb="FFF8D7D7"/>
      <rgbColor rgb="FF3366FF"/>
      <rgbColor rgb="FF33CCCC"/>
      <rgbColor rgb="FF99CC00"/>
      <rgbColor rgb="FFFFCC00"/>
      <rgbColor rgb="FFFF9900"/>
      <rgbColor rgb="FFC97A1B"/>
      <rgbColor rgb="FF4F81BD"/>
      <rgbColor rgb="FFAAAAAA"/>
      <rgbColor rgb="FF1B3B5C"/>
      <rgbColor rgb="FF2E7D4F"/>
      <rgbColor rgb="FF003300"/>
      <rgbColor rgb="FF333300"/>
      <rgbColor rgb="FF993300"/>
      <rgbColor rgb="FFC0504D"/>
      <rgbColor rgb="FF2E5C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Distribucion por estado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Dashboard!B9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Dashboard!$A$10:$A$11</c:f>
              <c:strCache>
                <c:ptCount val="2"/>
                <c:pt idx="0">
                  <c:v>Cerrado</c:v>
                </c:pt>
                <c:pt idx="1">
                  <c:v>Abierto</c:v>
                </c:pt>
              </c:strCache>
            </c:strRef>
          </c:cat>
          <c:val>
            <c:numRef>
              <c:f>Dashboard!$B$10:$B$11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Distribucion por severidad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Dashboard!$A$5:$A$7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Dashboard!$B$5:$B$7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62205671"/>
        <c:axId val="80487602"/>
      </c:barChart>
      <c:catAx>
        <c:axId val="62205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87602"/>
        <c:crosses val="autoZero"/>
        <c:auto val="1"/>
        <c:lblAlgn val="ctr"/>
        <c:lblOffset val="100"/>
        <c:noMultiLvlLbl val="0"/>
      </c:catAx>
      <c:valAx>
        <c:axId val="80487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N. de 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05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Distribucion por ranking de priorizacion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Dashboard!$A$20:$A$22</c:f>
              <c:strCache>
                <c:ptCount val="3"/>
                <c:pt idx="0">
                  <c:v>P1 - Critica/inmediata</c:v>
                </c:pt>
                <c:pt idx="1">
                  <c:v>P2 - Importante</c:v>
                </c:pt>
                <c:pt idx="2">
                  <c:v>P3 - Diferible</c:v>
                </c:pt>
              </c:strCache>
            </c:strRef>
          </c:cat>
          <c:val>
            <c:numRef>
              <c:f>Dashboard!$B$20:$B$22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92592010"/>
        <c:axId val="89947287"/>
      </c:barChart>
      <c:catAx>
        <c:axId val="92592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47287"/>
        <c:crosses val="autoZero"/>
        <c:auto val="1"/>
        <c:lblAlgn val="ctr"/>
        <c:lblOffset val="100"/>
        <c:noMultiLvlLbl val="0"/>
      </c:catAx>
      <c:valAx>
        <c:axId val="89947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N. de 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92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12</xdr:col>
      <xdr:colOff>39240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723708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160920</xdr:rowOff>
    </xdr:from>
    <xdr:to>
      <xdr:col>12</xdr:col>
      <xdr:colOff>39240</xdr:colOff>
      <xdr:row>29</xdr:row>
      <xdr:rowOff>148680</xdr:rowOff>
    </xdr:to>
    <xdr:graphicFrame>
      <xdr:nvGraphicFramePr>
        <xdr:cNvPr id="1" name="Chart 2"/>
        <xdr:cNvGraphicFramePr/>
      </xdr:nvGraphicFramePr>
      <xdr:xfrm>
        <a:off x="7237080" y="3048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27</xdr:row>
      <xdr:rowOff>126360</xdr:rowOff>
    </xdr:from>
    <xdr:to>
      <xdr:col>12</xdr:col>
      <xdr:colOff>39240</xdr:colOff>
      <xdr:row>39</xdr:row>
      <xdr:rowOff>92160</xdr:rowOff>
    </xdr:to>
    <xdr:graphicFrame>
      <xdr:nvGraphicFramePr>
        <xdr:cNvPr id="2" name="Chart 3"/>
        <xdr:cNvGraphicFramePr/>
      </xdr:nvGraphicFramePr>
      <xdr:xfrm>
        <a:off x="7237080" y="5524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20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38"/>
    <col collapsed="false" customWidth="true" hidden="false" outlineLevel="0" max="15" min="15" style="0" width="14"/>
    <col collapsed="false" customWidth="true" hidden="false" outlineLevel="0" max="16" min="16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45.75" hidden="false" customHeight="true" outlineLevel="0" collapsed="false">
      <c r="A5" s="4" t="s">
        <v>18</v>
      </c>
      <c r="B5" s="5" t="s">
        <v>19</v>
      </c>
      <c r="C5" s="5" t="s">
        <v>20</v>
      </c>
      <c r="D5" s="5" t="s">
        <v>21</v>
      </c>
      <c r="E5" s="6" t="s">
        <v>22</v>
      </c>
      <c r="F5" s="7" t="s">
        <v>22</v>
      </c>
      <c r="G5" s="6" t="s">
        <v>23</v>
      </c>
      <c r="H5" s="5" t="s">
        <v>24</v>
      </c>
      <c r="I5" s="7" t="s">
        <v>25</v>
      </c>
      <c r="J5" s="7" t="s">
        <v>26</v>
      </c>
      <c r="K5" s="8" t="s">
        <v>27</v>
      </c>
      <c r="L5" s="7" t="s">
        <v>26</v>
      </c>
      <c r="M5" s="7" t="n">
        <f aca="false">IF(L5="","-",DATEVALUE(L5)-DATEVALUE(J5))</f>
        <v>0</v>
      </c>
      <c r="N5" s="5" t="s">
        <v>28</v>
      </c>
      <c r="O5" s="7" t="s">
        <v>25</v>
      </c>
      <c r="P5" s="5" t="s">
        <v>29</v>
      </c>
    </row>
    <row r="6" customFormat="false" ht="45.75" hidden="false" customHeight="true" outlineLevel="0" collapsed="false">
      <c r="A6" s="9" t="s">
        <v>30</v>
      </c>
      <c r="B6" s="10" t="s">
        <v>31</v>
      </c>
      <c r="C6" s="10" t="s">
        <v>32</v>
      </c>
      <c r="D6" s="10" t="s">
        <v>33</v>
      </c>
      <c r="E6" s="6" t="s">
        <v>22</v>
      </c>
      <c r="F6" s="11" t="s">
        <v>22</v>
      </c>
      <c r="G6" s="6" t="s">
        <v>23</v>
      </c>
      <c r="H6" s="10" t="s">
        <v>34</v>
      </c>
      <c r="I6" s="11" t="s">
        <v>25</v>
      </c>
      <c r="J6" s="11" t="s">
        <v>26</v>
      </c>
      <c r="K6" s="12" t="s">
        <v>27</v>
      </c>
      <c r="L6" s="11" t="s">
        <v>35</v>
      </c>
      <c r="M6" s="11" t="n">
        <f aca="false">IF(L6="","-",DATEVALUE(L6)-DATEVALUE(J6))</f>
        <v>1</v>
      </c>
      <c r="N6" s="10" t="s">
        <v>36</v>
      </c>
      <c r="O6" s="11" t="s">
        <v>25</v>
      </c>
      <c r="P6" s="10" t="s">
        <v>37</v>
      </c>
    </row>
    <row r="7" customFormat="false" ht="45.75" hidden="false" customHeight="true" outlineLevel="0" collapsed="false">
      <c r="A7" s="4" t="s">
        <v>38</v>
      </c>
      <c r="B7" s="5" t="s">
        <v>39</v>
      </c>
      <c r="C7" s="5" t="s">
        <v>40</v>
      </c>
      <c r="D7" s="5" t="s">
        <v>41</v>
      </c>
      <c r="E7" s="13" t="s">
        <v>42</v>
      </c>
      <c r="F7" s="7" t="s">
        <v>42</v>
      </c>
      <c r="G7" s="13" t="s">
        <v>43</v>
      </c>
      <c r="H7" s="5" t="s">
        <v>44</v>
      </c>
      <c r="I7" s="7" t="s">
        <v>45</v>
      </c>
      <c r="J7" s="7" t="s">
        <v>46</v>
      </c>
      <c r="K7" s="8" t="s">
        <v>27</v>
      </c>
      <c r="L7" s="7" t="s">
        <v>47</v>
      </c>
      <c r="M7" s="7" t="n">
        <f aca="false">IF(L7="","-",DATEVALUE(L7)-DATEVALUE(J7))</f>
        <v>1</v>
      </c>
      <c r="N7" s="5" t="s">
        <v>48</v>
      </c>
      <c r="O7" s="7" t="s">
        <v>45</v>
      </c>
      <c r="P7" s="5" t="s">
        <v>49</v>
      </c>
    </row>
    <row r="8" customFormat="false" ht="45.75" hidden="false" customHeight="true" outlineLevel="0" collapsed="false">
      <c r="A8" s="9" t="s">
        <v>50</v>
      </c>
      <c r="B8" s="10" t="s">
        <v>51</v>
      </c>
      <c r="C8" s="10" t="s">
        <v>52</v>
      </c>
      <c r="D8" s="10" t="s">
        <v>53</v>
      </c>
      <c r="E8" s="14" t="s">
        <v>54</v>
      </c>
      <c r="F8" s="11" t="s">
        <v>54</v>
      </c>
      <c r="G8" s="14" t="s">
        <v>55</v>
      </c>
      <c r="H8" s="10" t="s">
        <v>56</v>
      </c>
      <c r="I8" s="11" t="s">
        <v>25</v>
      </c>
      <c r="J8" s="11" t="s">
        <v>57</v>
      </c>
      <c r="K8" s="15" t="s">
        <v>58</v>
      </c>
      <c r="L8" s="11"/>
      <c r="M8" s="11" t="str">
        <f aca="false">IF(L8="","-",DATEVALUE(L8)-DATEVALUE(J8))</f>
        <v>-</v>
      </c>
      <c r="N8" s="10" t="s">
        <v>59</v>
      </c>
      <c r="O8" s="11" t="s">
        <v>60</v>
      </c>
      <c r="P8" s="10" t="s">
        <v>61</v>
      </c>
    </row>
    <row r="9" customFormat="false" ht="45.75" hidden="false" customHeight="true" outlineLevel="0" collapsed="false">
      <c r="A9" s="4" t="s">
        <v>62</v>
      </c>
      <c r="B9" s="5" t="s">
        <v>63</v>
      </c>
      <c r="C9" s="5" t="s">
        <v>64</v>
      </c>
      <c r="D9" s="5" t="s">
        <v>65</v>
      </c>
      <c r="E9" s="14" t="s">
        <v>54</v>
      </c>
      <c r="F9" s="7" t="s">
        <v>54</v>
      </c>
      <c r="G9" s="14" t="s">
        <v>55</v>
      </c>
      <c r="H9" s="5" t="s">
        <v>66</v>
      </c>
      <c r="I9" s="7" t="s">
        <v>45</v>
      </c>
      <c r="J9" s="7" t="s">
        <v>67</v>
      </c>
      <c r="K9" s="8" t="s">
        <v>27</v>
      </c>
      <c r="L9" s="7" t="s">
        <v>67</v>
      </c>
      <c r="M9" s="7" t="n">
        <f aca="false">IF(L9="","-",DATEVALUE(L9)-DATEVALUE(J9))</f>
        <v>0</v>
      </c>
      <c r="N9" s="5" t="s">
        <v>68</v>
      </c>
      <c r="O9" s="7" t="s">
        <v>45</v>
      </c>
      <c r="P9" s="5" t="s">
        <v>69</v>
      </c>
    </row>
    <row r="10" customFormat="false" ht="45.75" hidden="false" customHeight="true" outlineLevel="0" collapsed="false">
      <c r="A10" s="9" t="s">
        <v>70</v>
      </c>
      <c r="B10" s="10" t="s">
        <v>71</v>
      </c>
      <c r="C10" s="10" t="s">
        <v>72</v>
      </c>
      <c r="D10" s="10" t="s">
        <v>73</v>
      </c>
      <c r="E10" s="13" t="s">
        <v>42</v>
      </c>
      <c r="F10" s="11" t="s">
        <v>42</v>
      </c>
      <c r="G10" s="13" t="s">
        <v>43</v>
      </c>
      <c r="H10" s="10" t="s">
        <v>74</v>
      </c>
      <c r="I10" s="11" t="s">
        <v>25</v>
      </c>
      <c r="J10" s="11" t="s">
        <v>75</v>
      </c>
      <c r="K10" s="15" t="s">
        <v>76</v>
      </c>
      <c r="L10" s="11"/>
      <c r="M10" s="11" t="str">
        <f aca="false">IF(L10="","-",DATEVALUE(L10)-DATEVALUE(J10))</f>
        <v>-</v>
      </c>
      <c r="N10" s="10" t="s">
        <v>77</v>
      </c>
      <c r="O10" s="11" t="s">
        <v>60</v>
      </c>
      <c r="P10" s="10" t="s">
        <v>78</v>
      </c>
    </row>
    <row r="11" customFormat="false" ht="45.75" hidden="false" customHeight="true" outlineLevel="0" collapsed="false">
      <c r="A11" s="4" t="s">
        <v>79</v>
      </c>
      <c r="B11" s="5" t="s">
        <v>80</v>
      </c>
      <c r="C11" s="5" t="s">
        <v>72</v>
      </c>
      <c r="D11" s="5" t="s">
        <v>81</v>
      </c>
      <c r="E11" s="6" t="s">
        <v>22</v>
      </c>
      <c r="F11" s="7" t="s">
        <v>22</v>
      </c>
      <c r="G11" s="6" t="s">
        <v>23</v>
      </c>
      <c r="H11" s="5" t="s">
        <v>82</v>
      </c>
      <c r="I11" s="7" t="s">
        <v>45</v>
      </c>
      <c r="J11" s="7" t="s">
        <v>75</v>
      </c>
      <c r="K11" s="16" t="s">
        <v>83</v>
      </c>
      <c r="L11" s="7"/>
      <c r="M11" s="7" t="str">
        <f aca="false">IF(L11="","-",DATEVALUE(L11)-DATEVALUE(J11))</f>
        <v>-</v>
      </c>
      <c r="N11" s="5" t="s">
        <v>84</v>
      </c>
      <c r="O11" s="7" t="s">
        <v>60</v>
      </c>
      <c r="P11" s="5" t="s">
        <v>85</v>
      </c>
    </row>
    <row r="12" customFormat="false" ht="45.75" hidden="false" customHeight="true" outlineLevel="0" collapsed="false">
      <c r="A12" s="9" t="s">
        <v>86</v>
      </c>
      <c r="B12" s="10" t="s">
        <v>87</v>
      </c>
      <c r="C12" s="10" t="s">
        <v>72</v>
      </c>
      <c r="D12" s="10" t="s">
        <v>88</v>
      </c>
      <c r="E12" s="13" t="s">
        <v>42</v>
      </c>
      <c r="F12" s="11" t="s">
        <v>42</v>
      </c>
      <c r="G12" s="13" t="s">
        <v>43</v>
      </c>
      <c r="H12" s="10" t="s">
        <v>89</v>
      </c>
      <c r="I12" s="11" t="s">
        <v>25</v>
      </c>
      <c r="J12" s="11" t="s">
        <v>90</v>
      </c>
      <c r="K12" s="15" t="s">
        <v>76</v>
      </c>
      <c r="L12" s="11"/>
      <c r="M12" s="11" t="str">
        <f aca="false">IF(L12="","-",DATEVALUE(L12)-DATEVALUE(J12))</f>
        <v>-</v>
      </c>
      <c r="N12" s="10" t="s">
        <v>91</v>
      </c>
      <c r="O12" s="11" t="s">
        <v>60</v>
      </c>
      <c r="P12" s="10" t="s">
        <v>92</v>
      </c>
    </row>
    <row r="14" customFormat="false" ht="15" hidden="false" customHeight="false" outlineLevel="0" collapsed="false">
      <c r="A14" s="17" t="s">
        <v>93</v>
      </c>
      <c r="B14" s="17" t="s">
        <v>94</v>
      </c>
      <c r="D14" s="17" t="n">
        <f aca="false">COUNTA(A5:A12)</f>
        <v>8</v>
      </c>
    </row>
    <row r="15" customFormat="false" ht="15" hidden="false" customHeight="false" outlineLevel="0" collapsed="false">
      <c r="B15" s="17" t="s">
        <v>95</v>
      </c>
      <c r="D15" s="17" t="n">
        <f aca="false">COUNTIF(K5:K12,"Cerrado")</f>
        <v>4</v>
      </c>
    </row>
    <row r="16" customFormat="false" ht="15" hidden="false" customHeight="false" outlineLevel="0" collapsed="false">
      <c r="B16" s="17" t="s">
        <v>96</v>
      </c>
      <c r="D16" s="17" t="n">
        <f aca="false">D14-D15</f>
        <v>4</v>
      </c>
    </row>
    <row r="17" customFormat="false" ht="15" hidden="false" customHeight="false" outlineLevel="0" collapsed="false">
      <c r="B17" s="17" t="s">
        <v>97</v>
      </c>
      <c r="D17" s="17" t="n">
        <f aca="false">IFERROR(AVERAGEIF(K5:K12,"Cerrado",M5:M12),"-")</f>
        <v>0.5</v>
      </c>
    </row>
    <row r="18" customFormat="false" ht="15" hidden="false" customHeight="false" outlineLevel="0" collapsed="false">
      <c r="B18" s="17" t="s">
        <v>98</v>
      </c>
      <c r="D18" s="17" t="n">
        <f aca="false">COUNTIF(G5:G12,"P1")</f>
        <v>3</v>
      </c>
    </row>
    <row r="20" customFormat="false" ht="15" hidden="false" customHeight="false" outlineLevel="0" collapsed="false">
      <c r="A20" s="18" t="s">
        <v>99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101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  <c r="G4" s="3" t="s">
        <v>107</v>
      </c>
      <c r="H4" s="3" t="s">
        <v>108</v>
      </c>
      <c r="I4" s="3" t="s">
        <v>27</v>
      </c>
    </row>
    <row r="5" customFormat="false" ht="15" hidden="false" customHeight="false" outlineLevel="0" collapsed="false">
      <c r="A5" s="4" t="s">
        <v>18</v>
      </c>
      <c r="B5" s="19" t="s">
        <v>26</v>
      </c>
      <c r="C5" s="19" t="s">
        <v>26</v>
      </c>
      <c r="D5" s="19" t="s">
        <v>26</v>
      </c>
      <c r="E5" s="19" t="s">
        <v>26</v>
      </c>
      <c r="F5" s="19" t="s">
        <v>26</v>
      </c>
      <c r="G5" s="19" t="s">
        <v>26</v>
      </c>
      <c r="H5" s="19" t="s">
        <v>26</v>
      </c>
      <c r="I5" s="19" t="s">
        <v>26</v>
      </c>
    </row>
    <row r="6" customFormat="false" ht="15" hidden="false" customHeight="false" outlineLevel="0" collapsed="false">
      <c r="A6" s="9" t="s">
        <v>30</v>
      </c>
      <c r="B6" s="19" t="s">
        <v>26</v>
      </c>
      <c r="C6" s="19" t="s">
        <v>26</v>
      </c>
      <c r="D6" s="19" t="s">
        <v>26</v>
      </c>
      <c r="E6" s="19" t="s">
        <v>26</v>
      </c>
      <c r="F6" s="19" t="s">
        <v>26</v>
      </c>
      <c r="G6" s="19" t="s">
        <v>26</v>
      </c>
      <c r="H6" s="19" t="s">
        <v>35</v>
      </c>
      <c r="I6" s="19" t="s">
        <v>35</v>
      </c>
    </row>
    <row r="7" customFormat="false" ht="15" hidden="false" customHeight="false" outlineLevel="0" collapsed="false">
      <c r="A7" s="4" t="s">
        <v>38</v>
      </c>
      <c r="B7" s="19" t="s">
        <v>46</v>
      </c>
      <c r="C7" s="19" t="s">
        <v>46</v>
      </c>
      <c r="D7" s="19" t="s">
        <v>46</v>
      </c>
      <c r="E7" s="19" t="s">
        <v>46</v>
      </c>
      <c r="F7" s="19" t="s">
        <v>46</v>
      </c>
      <c r="G7" s="19" t="s">
        <v>46</v>
      </c>
      <c r="H7" s="19" t="s">
        <v>47</v>
      </c>
      <c r="I7" s="19" t="s">
        <v>47</v>
      </c>
    </row>
    <row r="8" customFormat="false" ht="15" hidden="false" customHeight="false" outlineLevel="0" collapsed="false">
      <c r="A8" s="9" t="s">
        <v>50</v>
      </c>
      <c r="B8" s="19" t="s">
        <v>57</v>
      </c>
      <c r="C8" s="19" t="s">
        <v>57</v>
      </c>
      <c r="D8" s="19" t="s">
        <v>57</v>
      </c>
      <c r="E8" s="19" t="s">
        <v>57</v>
      </c>
      <c r="F8" s="20" t="s">
        <v>109</v>
      </c>
      <c r="G8" s="20" t="s">
        <v>109</v>
      </c>
      <c r="H8" s="20" t="s">
        <v>109</v>
      </c>
      <c r="I8" s="20" t="s">
        <v>109</v>
      </c>
    </row>
    <row r="9" customFormat="false" ht="15" hidden="false" customHeight="false" outlineLevel="0" collapsed="false">
      <c r="A9" s="4" t="s">
        <v>62</v>
      </c>
      <c r="B9" s="19" t="s">
        <v>67</v>
      </c>
      <c r="C9" s="19" t="s">
        <v>67</v>
      </c>
      <c r="D9" s="19" t="s">
        <v>67</v>
      </c>
      <c r="E9" s="19" t="s">
        <v>67</v>
      </c>
      <c r="F9" s="19" t="s">
        <v>67</v>
      </c>
      <c r="G9" s="19" t="s">
        <v>67</v>
      </c>
      <c r="H9" s="19" t="s">
        <v>67</v>
      </c>
      <c r="I9" s="19" t="s">
        <v>67</v>
      </c>
    </row>
    <row r="10" customFormat="false" ht="15" hidden="false" customHeight="false" outlineLevel="0" collapsed="false">
      <c r="A10" s="9" t="s">
        <v>70</v>
      </c>
      <c r="B10" s="19" t="s">
        <v>75</v>
      </c>
      <c r="C10" s="19" t="s">
        <v>90</v>
      </c>
      <c r="D10" s="19" t="s">
        <v>90</v>
      </c>
      <c r="E10" s="19" t="s">
        <v>90</v>
      </c>
      <c r="F10" s="20" t="s">
        <v>109</v>
      </c>
      <c r="G10" s="20" t="s">
        <v>109</v>
      </c>
      <c r="H10" s="20" t="s">
        <v>109</v>
      </c>
      <c r="I10" s="20" t="s">
        <v>109</v>
      </c>
    </row>
    <row r="11" customFormat="false" ht="15" hidden="false" customHeight="false" outlineLevel="0" collapsed="false">
      <c r="A11" s="4" t="s">
        <v>79</v>
      </c>
      <c r="B11" s="19" t="s">
        <v>75</v>
      </c>
      <c r="C11" s="19" t="s">
        <v>75</v>
      </c>
      <c r="D11" s="19" t="s">
        <v>90</v>
      </c>
      <c r="E11" s="19" t="s">
        <v>90</v>
      </c>
      <c r="F11" s="20" t="s">
        <v>109</v>
      </c>
      <c r="G11" s="20" t="s">
        <v>109</v>
      </c>
      <c r="H11" s="20" t="s">
        <v>109</v>
      </c>
      <c r="I11" s="20" t="s">
        <v>109</v>
      </c>
    </row>
    <row r="12" customFormat="false" ht="15" hidden="false" customHeight="false" outlineLevel="0" collapsed="false">
      <c r="A12" s="9" t="s">
        <v>86</v>
      </c>
      <c r="B12" s="19" t="s">
        <v>90</v>
      </c>
      <c r="C12" s="19" t="s">
        <v>90</v>
      </c>
      <c r="D12" s="19" t="s">
        <v>90</v>
      </c>
      <c r="E12" s="19" t="s">
        <v>90</v>
      </c>
      <c r="F12" s="20" t="s">
        <v>109</v>
      </c>
      <c r="G12" s="20" t="s">
        <v>109</v>
      </c>
      <c r="H12" s="20" t="s">
        <v>109</v>
      </c>
      <c r="I12" s="20" t="s">
        <v>109</v>
      </c>
    </row>
    <row r="14" customFormat="false" ht="15" hidden="false" customHeight="false" outlineLevel="0" collapsed="false">
      <c r="A14" s="18" t="s">
        <v>110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111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1" t="s">
        <v>6</v>
      </c>
      <c r="B4" s="21" t="s">
        <v>113</v>
      </c>
    </row>
    <row r="5" customFormat="false" ht="15" hidden="false" customHeight="false" outlineLevel="0" collapsed="false">
      <c r="A5" s="22" t="s">
        <v>22</v>
      </c>
      <c r="B5" s="22" t="n">
        <f aca="false">COUNTIF(Registro_Defectos!E5:E12,"Alta")</f>
        <v>3</v>
      </c>
    </row>
    <row r="6" customFormat="false" ht="15" hidden="false" customHeight="false" outlineLevel="0" collapsed="false">
      <c r="A6" s="22" t="s">
        <v>42</v>
      </c>
      <c r="B6" s="22" t="n">
        <f aca="false">COUNTIF(Registro_Defectos!E5:E12,"Media")</f>
        <v>3</v>
      </c>
    </row>
    <row r="7" customFormat="false" ht="15" hidden="false" customHeight="false" outlineLevel="0" collapsed="false">
      <c r="A7" s="22" t="s">
        <v>54</v>
      </c>
      <c r="B7" s="22" t="n">
        <f aca="false">COUNTIF(Registro_Defectos!E5:E12,"Baja")</f>
        <v>2</v>
      </c>
    </row>
    <row r="9" customFormat="false" ht="15" hidden="false" customHeight="false" outlineLevel="0" collapsed="false">
      <c r="A9" s="21" t="s">
        <v>114</v>
      </c>
      <c r="B9" s="21" t="s">
        <v>113</v>
      </c>
    </row>
    <row r="10" customFormat="false" ht="15" hidden="false" customHeight="false" outlineLevel="0" collapsed="false">
      <c r="A10" s="22" t="s">
        <v>27</v>
      </c>
      <c r="B10" s="22" t="n">
        <f aca="false">COUNTIF(Registro_Defectos!K5:K12,"Cerrado")</f>
        <v>4</v>
      </c>
    </row>
    <row r="11" customFormat="false" ht="15" hidden="false" customHeight="false" outlineLevel="0" collapsed="false">
      <c r="A11" s="22" t="s">
        <v>115</v>
      </c>
      <c r="B11" s="22" t="n">
        <f aca="false">COUNTA(Registro_Defectos!K5:K12)-B10</f>
        <v>4</v>
      </c>
    </row>
    <row r="14" customFormat="false" ht="15" hidden="false" customHeight="false" outlineLevel="0" collapsed="false">
      <c r="A14" s="21" t="s">
        <v>116</v>
      </c>
      <c r="B14" s="21" t="s">
        <v>113</v>
      </c>
    </row>
    <row r="15" customFormat="false" ht="15" hidden="false" customHeight="false" outlineLevel="0" collapsed="false">
      <c r="A15" s="22" t="s">
        <v>117</v>
      </c>
      <c r="B15" s="22" t="n">
        <v>5</v>
      </c>
    </row>
    <row r="16" customFormat="false" ht="15" hidden="false" customHeight="false" outlineLevel="0" collapsed="false">
      <c r="A16" s="22" t="s">
        <v>118</v>
      </c>
      <c r="B16" s="22" t="n">
        <v>3</v>
      </c>
    </row>
    <row r="19" customFormat="false" ht="15" hidden="false" customHeight="false" outlineLevel="0" collapsed="false">
      <c r="A19" s="21" t="s">
        <v>8</v>
      </c>
      <c r="B19" s="21" t="s">
        <v>113</v>
      </c>
    </row>
    <row r="20" customFormat="false" ht="15" hidden="false" customHeight="false" outlineLevel="0" collapsed="false">
      <c r="A20" s="22" t="s">
        <v>119</v>
      </c>
      <c r="B20" s="22" t="n">
        <f aca="false">COUNTIF(Registro_Defectos!G5:G12,"P1")</f>
        <v>3</v>
      </c>
    </row>
    <row r="21" customFormat="false" ht="15" hidden="false" customHeight="false" outlineLevel="0" collapsed="false">
      <c r="A21" s="22" t="s">
        <v>120</v>
      </c>
      <c r="B21" s="22" t="n">
        <f aca="false">COUNTIF(Registro_Defectos!G5:G12,"P2")</f>
        <v>3</v>
      </c>
    </row>
    <row r="22" customFormat="false" ht="15" hidden="false" customHeight="false" outlineLevel="0" collapsed="false">
      <c r="A22" s="22" t="s">
        <v>121</v>
      </c>
      <c r="B22" s="22" t="n">
        <f aca="false">COUNTIF(Registro_Defectos!G5:G12,"P3")</f>
        <v>2</v>
      </c>
    </row>
    <row r="24" customFormat="false" ht="23.85" hidden="false" customHeight="false" outlineLevel="0" collapsed="false">
      <c r="A24" s="3" t="s">
        <v>122</v>
      </c>
      <c r="B24" s="3" t="s">
        <v>123</v>
      </c>
      <c r="C24" s="3" t="s">
        <v>124</v>
      </c>
      <c r="D24" s="3" t="s">
        <v>125</v>
      </c>
    </row>
    <row r="25" customFormat="false" ht="15" hidden="false" customHeight="false" outlineLevel="0" collapsed="false">
      <c r="A25" s="5" t="s">
        <v>126</v>
      </c>
      <c r="B25" s="7" t="s">
        <v>127</v>
      </c>
      <c r="C25" s="5" t="s">
        <v>128</v>
      </c>
      <c r="D25" s="23" t="s">
        <v>129</v>
      </c>
    </row>
    <row r="26" customFormat="false" ht="15" hidden="false" customHeight="false" outlineLevel="0" collapsed="false">
      <c r="A26" s="10" t="s">
        <v>130</v>
      </c>
      <c r="B26" s="11" t="s">
        <v>131</v>
      </c>
      <c r="C26" s="10" t="s">
        <v>132</v>
      </c>
      <c r="D26" s="23" t="s">
        <v>129</v>
      </c>
    </row>
    <row r="27" customFormat="false" ht="23.85" hidden="false" customHeight="false" outlineLevel="0" collapsed="false">
      <c r="A27" s="5" t="s">
        <v>133</v>
      </c>
      <c r="B27" s="7" t="s">
        <v>134</v>
      </c>
      <c r="C27" s="5" t="s">
        <v>135</v>
      </c>
      <c r="D27" s="23" t="s">
        <v>129</v>
      </c>
    </row>
    <row r="28" customFormat="false" ht="15" hidden="false" customHeight="false" outlineLevel="0" collapsed="false">
      <c r="A28" s="10" t="s">
        <v>136</v>
      </c>
      <c r="B28" s="11" t="s">
        <v>137</v>
      </c>
      <c r="C28" s="10" t="s">
        <v>138</v>
      </c>
      <c r="D28" s="23" t="s">
        <v>129</v>
      </c>
    </row>
    <row r="31" customFormat="false" ht="23.85" hidden="false" customHeight="false" outlineLevel="0" collapsed="false">
      <c r="A31" s="3" t="s">
        <v>139</v>
      </c>
      <c r="B31" s="3" t="s">
        <v>140</v>
      </c>
      <c r="C31" s="3" t="s">
        <v>141</v>
      </c>
      <c r="D31" s="3" t="s">
        <v>125</v>
      </c>
    </row>
    <row r="32" customFormat="false" ht="15" hidden="false" customHeight="false" outlineLevel="0" collapsed="false">
      <c r="A32" s="5" t="s">
        <v>142</v>
      </c>
      <c r="B32" s="7" t="s">
        <v>143</v>
      </c>
      <c r="C32" s="7" t="s">
        <v>143</v>
      </c>
      <c r="D32" s="23" t="s">
        <v>129</v>
      </c>
    </row>
    <row r="33" customFormat="false" ht="15" hidden="false" customHeight="false" outlineLevel="0" collapsed="false">
      <c r="A33" s="10" t="s">
        <v>144</v>
      </c>
      <c r="B33" s="11" t="s">
        <v>143</v>
      </c>
      <c r="C33" s="11" t="s">
        <v>143</v>
      </c>
      <c r="D33" s="23" t="s">
        <v>129</v>
      </c>
    </row>
    <row r="36" customFormat="false" ht="17.35" hidden="false" customHeight="false" outlineLevel="0" collapsed="false">
      <c r="A36" s="24" t="s">
        <v>145</v>
      </c>
    </row>
    <row r="37" customFormat="false" ht="27.75" hidden="false" customHeight="true" outlineLevel="0" collapsed="false">
      <c r="A37" s="25" t="s">
        <v>146</v>
      </c>
      <c r="B37" s="25"/>
      <c r="C37" s="25"/>
      <c r="D37" s="25"/>
      <c r="E37" s="25"/>
    </row>
    <row r="38" customFormat="false" ht="27.75" hidden="false" customHeight="true" outlineLevel="0" collapsed="false">
      <c r="A38" s="25" t="s">
        <v>147</v>
      </c>
      <c r="B38" s="25"/>
      <c r="C38" s="25"/>
      <c r="D38" s="25"/>
      <c r="E38" s="25"/>
    </row>
    <row r="39" customFormat="false" ht="27.75" hidden="false" customHeight="true" outlineLevel="0" collapsed="false">
      <c r="A39" s="25" t="s">
        <v>148</v>
      </c>
      <c r="B39" s="25"/>
      <c r="C39" s="25"/>
      <c r="D39" s="25"/>
      <c r="E39" s="25"/>
    </row>
    <row r="40" customFormat="false" ht="27.75" hidden="false" customHeight="true" outlineLevel="0" collapsed="false">
      <c r="A40" s="25" t="s">
        <v>149</v>
      </c>
      <c r="B40" s="25"/>
      <c r="C40" s="25"/>
      <c r="D40" s="25"/>
      <c r="E40" s="25"/>
    </row>
    <row r="41" customFormat="false" ht="27.75" hidden="false" customHeight="true" outlineLevel="0" collapsed="false">
      <c r="A41" s="25" t="s">
        <v>150</v>
      </c>
      <c r="B41" s="25"/>
      <c r="C41" s="25"/>
      <c r="D41" s="25"/>
      <c r="E41" s="25"/>
    </row>
    <row r="42" customFormat="false" ht="27.75" hidden="false" customHeight="true" outlineLevel="0" collapsed="false">
      <c r="A42" s="25" t="s">
        <v>151</v>
      </c>
      <c r="B42" s="25"/>
      <c r="C42" s="25"/>
      <c r="D42" s="25"/>
      <c r="E42" s="25"/>
    </row>
  </sheetData>
  <mergeCells count="8">
    <mergeCell ref="A1:F1"/>
    <mergeCell ref="A2:F2"/>
    <mergeCell ref="A37:E37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152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153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154</v>
      </c>
      <c r="C4" s="3" t="s">
        <v>155</v>
      </c>
      <c r="D4" s="3" t="s">
        <v>156</v>
      </c>
      <c r="E4" s="3" t="s">
        <v>157</v>
      </c>
    </row>
    <row r="5" customFormat="false" ht="48" hidden="false" customHeight="true" outlineLevel="0" collapsed="false">
      <c r="A5" s="4" t="s">
        <v>18</v>
      </c>
      <c r="B5" s="5" t="s">
        <v>158</v>
      </c>
      <c r="C5" s="5" t="s">
        <v>159</v>
      </c>
      <c r="D5" s="5" t="s">
        <v>160</v>
      </c>
      <c r="E5" s="5" t="s">
        <v>161</v>
      </c>
    </row>
    <row r="6" customFormat="false" ht="48" hidden="false" customHeight="true" outlineLevel="0" collapsed="false">
      <c r="A6" s="9" t="s">
        <v>30</v>
      </c>
      <c r="B6" s="10" t="s">
        <v>162</v>
      </c>
      <c r="C6" s="10" t="s">
        <v>163</v>
      </c>
      <c r="D6" s="10" t="s">
        <v>164</v>
      </c>
      <c r="E6" s="10" t="s">
        <v>161</v>
      </c>
    </row>
    <row r="7" customFormat="false" ht="48" hidden="false" customHeight="true" outlineLevel="0" collapsed="false">
      <c r="A7" s="4" t="s">
        <v>38</v>
      </c>
      <c r="B7" s="5" t="s">
        <v>165</v>
      </c>
      <c r="C7" s="5" t="s">
        <v>166</v>
      </c>
      <c r="D7" s="5" t="s">
        <v>167</v>
      </c>
      <c r="E7" s="5" t="s">
        <v>161</v>
      </c>
    </row>
    <row r="8" customFormat="false" ht="48" hidden="false" customHeight="true" outlineLevel="0" collapsed="false">
      <c r="A8" s="9" t="s">
        <v>50</v>
      </c>
      <c r="B8" s="10" t="s">
        <v>168</v>
      </c>
      <c r="C8" s="10" t="s">
        <v>169</v>
      </c>
      <c r="D8" s="10" t="s">
        <v>170</v>
      </c>
      <c r="E8" s="10" t="s">
        <v>171</v>
      </c>
    </row>
    <row r="9" customFormat="false" ht="48" hidden="false" customHeight="true" outlineLevel="0" collapsed="false">
      <c r="A9" s="4" t="s">
        <v>62</v>
      </c>
      <c r="B9" s="5" t="s">
        <v>172</v>
      </c>
      <c r="C9" s="5" t="s">
        <v>173</v>
      </c>
      <c r="D9" s="5" t="s">
        <v>174</v>
      </c>
      <c r="E9" s="5" t="s">
        <v>161</v>
      </c>
    </row>
    <row r="10" customFormat="false" ht="48" hidden="false" customHeight="true" outlineLevel="0" collapsed="false">
      <c r="A10" s="9" t="s">
        <v>70</v>
      </c>
      <c r="B10" s="10" t="s">
        <v>175</v>
      </c>
      <c r="C10" s="10" t="s">
        <v>176</v>
      </c>
      <c r="D10" s="10" t="s">
        <v>177</v>
      </c>
      <c r="E10" s="10" t="s">
        <v>178</v>
      </c>
    </row>
    <row r="11" customFormat="false" ht="48" hidden="false" customHeight="true" outlineLevel="0" collapsed="false">
      <c r="A11" s="4" t="s">
        <v>79</v>
      </c>
      <c r="B11" s="5" t="s">
        <v>179</v>
      </c>
      <c r="C11" s="5" t="s">
        <v>180</v>
      </c>
      <c r="D11" s="5" t="s">
        <v>181</v>
      </c>
      <c r="E11" s="5" t="s">
        <v>178</v>
      </c>
    </row>
    <row r="12" customFormat="false" ht="48" hidden="false" customHeight="true" outlineLevel="0" collapsed="false">
      <c r="A12" s="9" t="s">
        <v>86</v>
      </c>
      <c r="B12" s="10" t="s">
        <v>182</v>
      </c>
      <c r="C12" s="10" t="s">
        <v>183</v>
      </c>
      <c r="D12" s="10" t="s">
        <v>184</v>
      </c>
      <c r="E12" s="10" t="s">
        <v>178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185</v>
      </c>
      <c r="B1" s="1"/>
      <c r="C1" s="1"/>
    </row>
    <row r="2" customFormat="false" ht="15" hidden="false" customHeight="false" outlineLevel="0" collapsed="false">
      <c r="A2" s="2" t="s">
        <v>186</v>
      </c>
      <c r="B2" s="2"/>
      <c r="C2" s="2"/>
    </row>
    <row r="4" customFormat="false" ht="15" hidden="false" customHeight="false" outlineLevel="0" collapsed="false">
      <c r="A4" s="3" t="s">
        <v>114</v>
      </c>
      <c r="B4" s="3" t="s">
        <v>187</v>
      </c>
    </row>
    <row r="5" customFormat="false" ht="33.75" hidden="false" customHeight="true" outlineLevel="0" collapsed="false">
      <c r="A5" s="4" t="s">
        <v>102</v>
      </c>
      <c r="B5" s="5" t="s">
        <v>188</v>
      </c>
    </row>
    <row r="6" customFormat="false" ht="33.75" hidden="false" customHeight="true" outlineLevel="0" collapsed="false">
      <c r="A6" s="9" t="s">
        <v>103</v>
      </c>
      <c r="B6" s="10" t="s">
        <v>189</v>
      </c>
    </row>
    <row r="7" customFormat="false" ht="33.75" hidden="false" customHeight="true" outlineLevel="0" collapsed="false">
      <c r="A7" s="4" t="s">
        <v>104</v>
      </c>
      <c r="B7" s="5" t="s">
        <v>190</v>
      </c>
    </row>
    <row r="8" customFormat="false" ht="33.75" hidden="false" customHeight="true" outlineLevel="0" collapsed="false">
      <c r="A8" s="9" t="s">
        <v>105</v>
      </c>
      <c r="B8" s="10" t="s">
        <v>191</v>
      </c>
    </row>
    <row r="9" customFormat="false" ht="33.75" hidden="false" customHeight="true" outlineLevel="0" collapsed="false">
      <c r="A9" s="4" t="s">
        <v>106</v>
      </c>
      <c r="B9" s="5" t="s">
        <v>192</v>
      </c>
    </row>
    <row r="10" customFormat="false" ht="33.75" hidden="false" customHeight="true" outlineLevel="0" collapsed="false">
      <c r="A10" s="9" t="s">
        <v>107</v>
      </c>
      <c r="B10" s="10" t="s">
        <v>193</v>
      </c>
    </row>
    <row r="11" customFormat="false" ht="33.75" hidden="false" customHeight="true" outlineLevel="0" collapsed="false">
      <c r="A11" s="4" t="s">
        <v>108</v>
      </c>
      <c r="B11" s="5" t="s">
        <v>194</v>
      </c>
    </row>
    <row r="12" customFormat="false" ht="33.75" hidden="false" customHeight="true" outlineLevel="0" collapsed="false">
      <c r="A12" s="9" t="s">
        <v>27</v>
      </c>
      <c r="B12" s="10" t="s">
        <v>195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2026-06-21T04:16:20Z</dcterms:created>
  <dc:creator>openpyxl</dc:creator>
  <dc:description/>
  <dc:language>en-US</dc:language>
  <cp:lastModifiedBy/>
  <dcterms:modified xsi:type="dcterms:W3CDTF">2026-06-21T04:16:22Z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